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744\OneDrive\桌面\GT\Research\2. On-Going\DISCO\DRAEM\"/>
    </mc:Choice>
  </mc:AlternateContent>
  <xr:revisionPtr revIDLastSave="0" documentId="13_ncr:1_{B739028C-BC34-4C01-AE85-64BE105390F6}" xr6:coauthVersionLast="47" xr6:coauthVersionMax="47" xr10:uidLastSave="{00000000-0000-0000-0000-000000000000}"/>
  <bookViews>
    <workbookView xWindow="-28680" yWindow="-1645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<sst xmlns="http://schemas.openxmlformats.org/spreadsheetml/2006/main" count="36" uniqueCount="35">
  <si>
    <t>crack1</t>
  </si>
  <si>
    <t>crack2</t>
  </si>
  <si>
    <t>crack3</t>
  </si>
  <si>
    <t>crack4</t>
  </si>
  <si>
    <t>irregular1</t>
  </si>
  <si>
    <t>irregular2</t>
  </si>
  <si>
    <t>irregular3</t>
  </si>
  <si>
    <t>irregular4</t>
  </si>
  <si>
    <t>large1</t>
  </si>
  <si>
    <t>large2</t>
  </si>
  <si>
    <t>large3</t>
  </si>
  <si>
    <t>large4</t>
  </si>
  <si>
    <t>scracth1</t>
  </si>
  <si>
    <t>scracth2</t>
  </si>
  <si>
    <t>scracth3</t>
  </si>
  <si>
    <t>scracth4</t>
  </si>
  <si>
    <t>spot1</t>
  </si>
  <si>
    <t>spot2</t>
  </si>
  <si>
    <t>spot3</t>
  </si>
  <si>
    <t>spot4</t>
  </si>
  <si>
    <t>Dice</t>
  </si>
  <si>
    <t>AUROC</t>
  </si>
  <si>
    <t>crack</t>
  </si>
  <si>
    <t>irregular</t>
  </si>
  <si>
    <t>large</t>
  </si>
  <si>
    <t>scracth</t>
  </si>
  <si>
    <t>spot</t>
  </si>
  <si>
    <t>overall</t>
  </si>
  <si>
    <t>group Dice avg</t>
  </si>
  <si>
    <t>group Dice std</t>
  </si>
  <si>
    <t>group AUROC avg</t>
  </si>
  <si>
    <t>group AUROC std</t>
  </si>
  <si>
    <t>02_sim_contam_level_0.05</t>
  </si>
  <si>
    <t>PSNR</t>
  </si>
  <si>
    <t>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</si>
</sst>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zoomScale="120" zoomScaleNormal="120" workbookViewId="0">
      <selection activeCell="B13" sqref="B13:D15"/>
    </sheetView>
  </sheetViews>
  <sheetFormatPr defaultRowHeight="14.6" x14ac:dyDescent="0.4"/>
  <cols>
    <col min="1" max="1" width="15.3828125" customWidth="1"/>
  </cols>
  <sheetData>
    <row r="1" spans="1:21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 t="s">
        <v>20</v>
      </c>
      <c r="B2">
        <v>0.56499999999999995</v>
      </c>
      <c r="C2">
        <v>0.60099999999999998</v>
      </c>
      <c r="D2">
        <v>0.47199999999999998</v>
      </c>
      <c r="E2">
        <v>0.58499999999999996</v>
      </c>
      <c r="F2">
        <v>0.50700000000000001</v>
      </c>
      <c r="G2">
        <v>0.371</v>
      </c>
      <c r="H2">
        <v>0.41</v>
      </c>
      <c r="I2">
        <v>0.32300000000000001</v>
      </c>
      <c r="J2">
        <v>0.51800000000000002</v>
      </c>
      <c r="K2">
        <v>5.7000000000000002E-2</v>
      </c>
      <c r="L2">
        <v>0.28000000000000003</v>
      </c>
      <c r="M2">
        <v>0.66400000000000003</v>
      </c>
      <c r="N2">
        <v>0.45200000000000001</v>
      </c>
      <c r="O2">
        <v>0.57299999999999995</v>
      </c>
      <c r="P2">
        <v>0.45200000000000001</v>
      </c>
      <c r="Q2">
        <v>0.44700000000000001</v>
      </c>
      <c r="R2">
        <v>0.44400000000000001</v>
      </c>
      <c r="S2">
        <v>0.59699999999999998</v>
      </c>
      <c r="T2">
        <v>0.51900000000000002</v>
      </c>
      <c r="U2">
        <v>0.48899999999999999</v>
      </c>
    </row>
    <row r="3" spans="1:21" x14ac:dyDescent="0.4">
      <c r="A3" t="s">
        <v>21</v>
      </c>
      <c r="B3">
        <v>0.71499999999999997</v>
      </c>
      <c r="C3">
        <v>0.749</v>
      </c>
      <c r="D3">
        <v>0.69299999999999995</v>
      </c>
      <c r="E3">
        <v>0.75</v>
      </c>
      <c r="F3">
        <v>0.68700000000000006</v>
      </c>
      <c r="G3">
        <v>0.64200000000000002</v>
      </c>
      <c r="H3">
        <v>0.78500000000000003</v>
      </c>
      <c r="I3">
        <v>0.622</v>
      </c>
      <c r="J3">
        <v>0.67700000000000005</v>
      </c>
      <c r="K3">
        <v>0.51400000000000001</v>
      </c>
      <c r="L3">
        <v>0.58599999999999997</v>
      </c>
      <c r="M3">
        <v>0.76700000000000002</v>
      </c>
      <c r="N3">
        <v>0.66400000000000003</v>
      </c>
      <c r="O3">
        <v>0.73899999999999999</v>
      </c>
      <c r="P3">
        <v>0.82799999999999996</v>
      </c>
      <c r="Q3">
        <v>0.69799999999999995</v>
      </c>
      <c r="R3">
        <v>0.85499999999999998</v>
      </c>
      <c r="S3">
        <v>0.77</v>
      </c>
      <c r="T3">
        <v>0.84599999999999997</v>
      </c>
      <c r="U3">
        <v>0.70899999999999996</v>
      </c>
    </row>
    <row r="4" spans="1:21" x14ac:dyDescent="0.4"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21" x14ac:dyDescent="0.4">
      <c r="A5" t="s">
        <v>28</v>
      </c>
      <c r="B5" s="1">
        <f>AVERAGE(B2:E2)</f>
        <v>0.55574999999999997</v>
      </c>
      <c r="C5" s="1">
        <f>AVERAGE(F2:I2)</f>
        <v>0.40275</v>
      </c>
      <c r="D5" s="1">
        <f>AVERAGE(J2:M2)</f>
        <v>0.37975000000000003</v>
      </c>
      <c r="E5" s="1">
        <f>AVERAGE(N2:Q2)</f>
        <v>0.48099999999999998</v>
      </c>
      <c r="F5" s="1">
        <f>AVERAGE(R2:U2)</f>
        <v>0.51224999999999998</v>
      </c>
      <c r="G5" s="1">
        <f>AVERAGE(B2:U2)</f>
        <v>0.46630000000000005</v>
      </c>
    </row>
    <row r="6" spans="1:21" x14ac:dyDescent="0.4">
      <c r="A6" t="s">
        <v>29</v>
      </c>
      <c r="B6" s="1">
        <f>_xlfn.STDEV.S(B2:E2)</f>
        <v>5.7742964939462536E-2</v>
      </c>
      <c r="C6" s="1">
        <f>_xlfn.STDEV.S(F2:I2)</f>
        <v>7.8078486153357177E-2</v>
      </c>
      <c r="D6" s="1">
        <f>_xlfn.STDEV.S(J2:M2)</f>
        <v>0.26710094845707055</v>
      </c>
      <c r="E6" s="1">
        <f>_xlfn.STDEV.S(N2:Q2)</f>
        <v>6.1378606479239532E-2</v>
      </c>
      <c r="F6" s="1">
        <f>_xlfn.STDEV.S(R2:U2)</f>
        <v>6.4360313858774623E-2</v>
      </c>
      <c r="G6" s="1">
        <f>_xlfn.STDEV.S(B2:U2)</f>
        <v>0.13639767709088538</v>
      </c>
    </row>
    <row r="7" spans="1:21" x14ac:dyDescent="0.4">
      <c r="A7" t="s">
        <v>30</v>
      </c>
      <c r="B7" s="1">
        <f>AVERAGE(B3:E3)</f>
        <v>0.72675000000000001</v>
      </c>
      <c r="C7" s="1">
        <f>AVERAGE(F3:I3)</f>
        <v>0.68400000000000005</v>
      </c>
      <c r="D7" s="1">
        <f>AVERAGE(J3:M3)</f>
        <v>0.63600000000000001</v>
      </c>
      <c r="E7" s="1">
        <f>AVERAGE(N3:Q3)</f>
        <v>0.73224999999999996</v>
      </c>
      <c r="F7" s="1">
        <f>AVERAGE(R3:U3)</f>
        <v>0.79500000000000004</v>
      </c>
      <c r="G7" s="1">
        <f>AVERAGE(B3:U3)</f>
        <v>0.7148000000000001</v>
      </c>
    </row>
    <row r="8" spans="1:21" x14ac:dyDescent="0.4">
      <c r="A8" t="s">
        <v>31</v>
      </c>
      <c r="B8" s="1">
        <f>_xlfn.STDEV.S(B3:E3)</f>
        <v>2.776538612493383E-2</v>
      </c>
      <c r="C8" s="1">
        <f>_xlfn.STDEV.S(F3:I3)</f>
        <v>7.2613130125802103E-2</v>
      </c>
      <c r="D8" s="1">
        <f>_xlfn.STDEV.S(J3:M3)</f>
        <v>0.10988782158789646</v>
      </c>
      <c r="E8" s="1">
        <f>_xlfn.STDEV.S(N3:Q3)</f>
        <v>7.0816076329225291E-2</v>
      </c>
      <c r="F8" s="1">
        <f>_xlfn.STDEV.S(R3:U3)</f>
        <v>6.8852499349454754E-2</v>
      </c>
      <c r="G8" s="1">
        <f>_xlfn.STDEV.S(B3:U3)</f>
        <v>8.576994934431488E-2</v>
      </c>
    </row>
    <row r="11" spans="1:21" x14ac:dyDescent="0.4">
      <c r="A11" t="s">
        <v>32</v>
      </c>
    </row>
    <row r="12" spans="1:21" x14ac:dyDescent="0.4"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  <c r="N12">
        <v>13</v>
      </c>
      <c r="O12">
        <v>14</v>
      </c>
      <c r="P12">
        <v>15</v>
      </c>
      <c r="Q12">
        <v>16</v>
      </c>
      <c r="R12">
        <v>17</v>
      </c>
      <c r="S12">
        <v>18</v>
      </c>
      <c r="T12">
        <v>19</v>
      </c>
      <c r="U12">
        <v>20</v>
      </c>
    </row>
    <row r="13" spans="1:21" x14ac:dyDescent="0.4">
      <c r="A13" t="s">
        <v>20</v>
      </c>
    </row>
    <row r="14" spans="1:21" x14ac:dyDescent="0.4">
      <c r="A14" t="s">
        <v>33</v>
      </c>
    </row>
    <row r="15" spans="1:21" x14ac:dyDescent="0.4">
      <c r="A15" t="s">
        <v>34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Yifeng Wang</dc:creator>
  <cp:lastModifiedBy>Wang, Yifeng</cp:lastModifiedBy>
  <dcterms:created xsi:type="dcterms:W3CDTF">2015-06-05T18:17:20Z</dcterms:created>
  <dcterms:modified xsi:type="dcterms:W3CDTF">2026-04-03T17:48:07Z</dcterms:modified>
</cp:coreProperties>
</file>